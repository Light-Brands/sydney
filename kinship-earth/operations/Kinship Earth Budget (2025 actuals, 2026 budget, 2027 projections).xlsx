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2025-2026 Budget as of " sheetId="1" r:id="rId5"/>
    <sheet state="visible" name="2025-2026 Budget | Funds Curren" sheetId="2" r:id="rId6"/>
    <sheet state="visible" name="3 yr projections" sheetId="3" r:id="rId7"/>
  </sheets>
  <definedNames/>
  <calcPr/>
</workbook>
</file>

<file path=xl/sharedStrings.xml><?xml version="1.0" encoding="utf-8"?>
<sst xmlns="http://schemas.openxmlformats.org/spreadsheetml/2006/main" count="90" uniqueCount="48">
  <si>
    <t>KINSHIP EARTH FLOW FUND BUDGET (GIVEN CURRENT &amp; GUARANTEED FUNDS)</t>
  </si>
  <si>
    <t>FUNDS IN</t>
  </si>
  <si>
    <t>2025 actuals (end of year)</t>
  </si>
  <si>
    <t>2026 Budget</t>
  </si>
  <si>
    <t>Projected 2027</t>
  </si>
  <si>
    <t>Funds in account</t>
  </si>
  <si>
    <r>
      <rPr>
        <rFont val="Arial"/>
        <color theme="1"/>
        <u/>
      </rPr>
      <t>Projected</t>
    </r>
    <r>
      <rPr>
        <rFont val="Arial"/>
        <color theme="1"/>
      </rPr>
      <t xml:space="preserve"> Grants &amp; Donations</t>
    </r>
  </si>
  <si>
    <t xml:space="preserve">PROJECTED COSTS </t>
  </si>
  <si>
    <t>OPS / EDUCATION / FUNDRAISING</t>
  </si>
  <si>
    <t>Contracted Services / Assistant</t>
  </si>
  <si>
    <t xml:space="preserve">Tech / Software for Assessing Impact </t>
  </si>
  <si>
    <t>Educational Programs / Events</t>
  </si>
  <si>
    <t xml:space="preserve">Exec Dir Salary </t>
  </si>
  <si>
    <t>Exec Dir Benefits</t>
  </si>
  <si>
    <t>Educational Program Director (Part Time)</t>
  </si>
  <si>
    <t>Payroll Tax (~ 7.65% of payroll)</t>
  </si>
  <si>
    <t>Accounting / CPA / Taxes</t>
  </si>
  <si>
    <t xml:space="preserve">Legal </t>
  </si>
  <si>
    <t>Travel (for Board &amp; Exec Dir)</t>
  </si>
  <si>
    <t>Subscripts / Contig. Funds</t>
  </si>
  <si>
    <t>TOTAL</t>
  </si>
  <si>
    <t>GRANTS &amp; HONORARIUMS</t>
  </si>
  <si>
    <t>Honorariums (Flow Funders &amp; Stephen's payments)</t>
  </si>
  <si>
    <t xml:space="preserve">Grants   </t>
  </si>
  <si>
    <t xml:space="preserve">BOARD BUDGET </t>
  </si>
  <si>
    <t xml:space="preserve">Board Insurance / Contigency Funds </t>
  </si>
  <si>
    <t>GRAND TOTAL COSTS</t>
  </si>
  <si>
    <t>NET</t>
  </si>
  <si>
    <t>Actuals To Date  (June 30)</t>
  </si>
  <si>
    <t>Remaining</t>
  </si>
  <si>
    <r>
      <rPr>
        <rFont val="Arial"/>
        <color theme="1"/>
        <u/>
      </rPr>
      <t>Projected</t>
    </r>
    <r>
      <rPr>
        <rFont val="Arial"/>
        <color theme="1"/>
      </rPr>
      <t xml:space="preserve"> Grants &amp; Donations</t>
    </r>
  </si>
  <si>
    <t>Payroll Tax (~ 15.3% of payroll)</t>
  </si>
  <si>
    <t>Subscripts / Misc / Contig. Funds / Flow Funding site</t>
  </si>
  <si>
    <t xml:space="preserve">total over budget: </t>
  </si>
  <si>
    <t>KINSHIP EARTH BUDGET (CURRENT FISCAL YEAR + 2025 &amp; 2026 BUDGETS)</t>
  </si>
  <si>
    <t xml:space="preserve">PROJECTED REVENUES </t>
  </si>
  <si>
    <t>Year 1, 2025</t>
  </si>
  <si>
    <t>Year 2, 2026</t>
  </si>
  <si>
    <t>Year 3, 2027</t>
  </si>
  <si>
    <t>Grants &amp; Donations</t>
  </si>
  <si>
    <t>2027</t>
  </si>
  <si>
    <t>Contracted Services</t>
  </si>
  <si>
    <t>Executive Assistant (Part Time)</t>
  </si>
  <si>
    <t>Travel</t>
  </si>
  <si>
    <t>Subscriptions / Misc / Contigency Funds</t>
  </si>
  <si>
    <t>FLOW FUNDING GRANTS / PROGRAM</t>
  </si>
  <si>
    <t xml:space="preserve">Honorariums </t>
  </si>
  <si>
    <t xml:space="preserve">Board Travel / Insurance / Contigency Funds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</si>
</sst>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</border>
    <border>
      <bottom style="thin">
        <color rgb="FF000000"/>
      </bottom>
    </border>
    <border>
      <bottom style="double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 vertical="bottom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/>
    </xf>
    <xf borderId="0" fillId="3" fontId="1" numFmtId="0" xfId="0" applyAlignment="1" applyFill="1" applyFont="1">
      <alignment horizontal="left" readingOrder="0" vertical="bottom"/>
    </xf>
    <xf borderId="0" fillId="3" fontId="3" numFmtId="0" xfId="0" applyAlignment="1" applyFont="1">
      <alignment horizontal="left" readingOrder="0"/>
    </xf>
    <xf borderId="0" fillId="3" fontId="2" numFmtId="164" xfId="0" applyAlignment="1" applyFont="1" applyNumberFormat="1">
      <alignment horizontal="left"/>
    </xf>
    <xf borderId="1" fillId="0" fontId="4" numFmtId="0" xfId="0" applyAlignment="1" applyBorder="1" applyFont="1">
      <alignment horizontal="left" readingOrder="0" vertical="bottom"/>
    </xf>
    <xf borderId="0" fillId="0" fontId="4" numFmtId="164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164" xfId="0" applyAlignment="1" applyFont="1" applyNumberFormat="1">
      <alignment horizontal="left" vertical="bottom"/>
    </xf>
    <xf borderId="1" fillId="0" fontId="4" numFmtId="0" xfId="0" applyAlignment="1" applyBorder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1" fillId="3" fontId="1" numFmtId="0" xfId="0" applyAlignment="1" applyBorder="1" applyFont="1">
      <alignment horizontal="left" vertical="bottom"/>
    </xf>
    <xf borderId="0" fillId="3" fontId="1" numFmtId="164" xfId="0" applyAlignment="1" applyFont="1" applyNumberFormat="1">
      <alignment horizontal="left" vertical="bottom"/>
    </xf>
    <xf borderId="0" fillId="3" fontId="1" numFmtId="164" xfId="0" applyAlignment="1" applyFont="1" applyNumberFormat="1">
      <alignment horizontal="left" readingOrder="0" vertical="bottom"/>
    </xf>
    <xf borderId="0" fillId="3" fontId="1" numFmtId="0" xfId="0" applyAlignment="1" applyFont="1">
      <alignment horizontal="left" vertical="bottom"/>
    </xf>
    <xf borderId="0" fillId="3" fontId="3" numFmtId="164" xfId="0" applyAlignment="1" applyFont="1" applyNumberFormat="1">
      <alignment horizontal="left" readingOrder="0"/>
    </xf>
    <xf borderId="0" fillId="3" fontId="3" numFmtId="164" xfId="0" applyAlignment="1" applyFont="1" applyNumberFormat="1">
      <alignment horizontal="left"/>
    </xf>
    <xf borderId="0" fillId="4" fontId="1" numFmtId="0" xfId="0" applyAlignment="1" applyFill="1" applyFont="1">
      <alignment horizontal="left" readingOrder="0" vertical="bottom"/>
    </xf>
    <xf borderId="0" fillId="4" fontId="3" numFmtId="164" xfId="0" applyAlignment="1" applyFont="1" applyNumberFormat="1">
      <alignment horizontal="left"/>
    </xf>
    <xf borderId="0" fillId="5" fontId="3" numFmtId="0" xfId="0" applyAlignment="1" applyFill="1" applyFont="1">
      <alignment horizontal="left" readingOrder="0"/>
    </xf>
    <xf borderId="0" fillId="5" fontId="3" numFmtId="0" xfId="0" applyAlignment="1" applyFont="1">
      <alignment horizontal="left"/>
    </xf>
    <xf borderId="0" fillId="5" fontId="3" numFmtId="164" xfId="0" applyAlignment="1" applyFont="1" applyNumberFormat="1">
      <alignment horizontal="left"/>
    </xf>
    <xf borderId="0" fillId="6" fontId="5" numFmtId="4" xfId="0" applyAlignment="1" applyFill="1" applyFont="1" applyNumberFormat="1">
      <alignment horizontal="left" readingOrder="0"/>
    </xf>
    <xf borderId="0" fillId="0" fontId="2" numFmtId="4" xfId="0" applyAlignment="1" applyFont="1" applyNumberFormat="1">
      <alignment horizontal="left"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4" xfId="0" applyFont="1" applyNumberFormat="1"/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right" readingOrder="0" vertical="top"/>
    </xf>
    <xf borderId="0" fillId="0" fontId="2" numFmtId="164" xfId="0" applyAlignment="1" applyFont="1" applyNumberFormat="1">
      <alignment horizontal="right" readingOrder="0" vertical="top"/>
    </xf>
    <xf borderId="0" fillId="0" fontId="2" numFmtId="164" xfId="0" applyAlignment="1" applyFont="1" applyNumberFormat="1">
      <alignment readingOrder="0" vertical="top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2" fontId="1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3" fontId="1" numFmtId="0" xfId="0" applyAlignment="1" applyFont="1">
      <alignment readingOrder="0" vertical="bottom"/>
    </xf>
    <xf borderId="0" fillId="0" fontId="3" numFmtId="49" xfId="0" applyAlignment="1" applyFont="1" applyNumberFormat="1">
      <alignment horizontal="center" readingOrder="0"/>
    </xf>
    <xf borderId="1" fillId="7" fontId="4" numFmtId="0" xfId="0" applyAlignment="1" applyBorder="1" applyFill="1" applyFont="1">
      <alignment readingOrder="0" vertical="bottom"/>
    </xf>
    <xf borderId="0" fillId="7" fontId="4" numFmtId="164" xfId="0" applyAlignment="1" applyFont="1" applyNumberFormat="1">
      <alignment horizontal="left" readingOrder="0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0" fillId="8" fontId="4" numFmtId="164" xfId="0" applyAlignment="1" applyFill="1" applyFont="1" applyNumberFormat="1">
      <alignment horizontal="left" readingOrder="0" vertical="bottom"/>
    </xf>
    <xf borderId="0" fillId="7" fontId="4" numFmtId="0" xfId="0" applyAlignment="1" applyFont="1">
      <alignment readingOrder="0" vertical="bottom"/>
    </xf>
    <xf borderId="2" fillId="7" fontId="4" numFmtId="164" xfId="0" applyAlignment="1" applyBorder="1" applyFont="1" applyNumberFormat="1">
      <alignment horizontal="left" readingOrder="0" vertical="bottom"/>
    </xf>
    <xf borderId="1" fillId="3" fontId="1" numFmtId="0" xfId="0" applyAlignment="1" applyBorder="1" applyFont="1">
      <alignment vertical="bottom"/>
    </xf>
    <xf borderId="0" fillId="7" fontId="2" numFmtId="164" xfId="0" applyAlignment="1" applyFont="1" applyNumberFormat="1">
      <alignment horizontal="left" readingOrder="0"/>
    </xf>
    <xf borderId="2" fillId="0" fontId="2" numFmtId="164" xfId="0" applyAlignment="1" applyBorder="1" applyFont="1" applyNumberFormat="1">
      <alignment horizontal="left" readingOrder="0"/>
    </xf>
    <xf borderId="0" fillId="3" fontId="1" numFmtId="0" xfId="0" applyAlignment="1" applyFont="1">
      <alignment vertical="bottom"/>
    </xf>
    <xf borderId="0" fillId="0" fontId="3" numFmtId="164" xfId="0" applyFont="1" applyNumberFormat="1"/>
    <xf borderId="0" fillId="0" fontId="4" numFmtId="0" xfId="0" applyAlignment="1" applyFont="1">
      <alignment readingOrder="0" vertical="bottom"/>
    </xf>
    <xf borderId="2" fillId="0" fontId="2" numFmtId="164" xfId="0" applyAlignment="1" applyBorder="1" applyFont="1" applyNumberFormat="1">
      <alignment readingOrder="0"/>
    </xf>
    <xf borderId="0" fillId="3" fontId="3" numFmtId="164" xfId="0" applyFont="1" applyNumberFormat="1"/>
    <xf borderId="0" fillId="3" fontId="3" numFmtId="164" xfId="0" applyAlignment="1" applyFont="1" applyNumberFormat="1">
      <alignment readingOrder="0"/>
    </xf>
    <xf borderId="0" fillId="4" fontId="1" numFmtId="0" xfId="0" applyAlignment="1" applyFont="1">
      <alignment readingOrder="0" vertical="bottom"/>
    </xf>
    <xf borderId="3" fillId="4" fontId="3" numFmtId="164" xfId="0" applyBorder="1" applyFont="1" applyNumberFormat="1"/>
    <xf borderId="3" fillId="4" fontId="3" numFmtId="0" xfId="0" applyBorder="1" applyFont="1"/>
    <xf borderId="0" fillId="5" fontId="3" numFmtId="0" xfId="0" applyAlignment="1" applyFont="1">
      <alignment readingOrder="0"/>
    </xf>
    <xf borderId="0" fillId="5" fontId="3" numFmtId="164" xfId="0" applyFont="1" applyNumberFormat="1"/>
    <xf borderId="0" fillId="5" fontId="3" numFmtId="0" xfId="0" applyFont="1"/>
    <xf borderId="0" fillId="0" fontId="2" numFmtId="164" xfId="0" applyAlignment="1" applyFont="1" applyNumberFormat="1">
      <alignment horizontal="right" readingOrder="0"/>
    </xf>
    <xf borderId="0" fillId="0" fontId="2" numFmtId="165" xfId="0" applyFont="1" applyNumberFormat="1"/>
    <xf borderId="0" fillId="0" fontId="4" numFmtId="164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right" vertical="bottom"/>
    </xf>
    <xf borderId="0" fillId="3" fontId="1" numFmtId="0" xfId="0" applyAlignment="1" applyFont="1">
      <alignment horizontal="center" vertical="bottom"/>
    </xf>
    <xf borderId="0" fillId="3" fontId="1" numFmtId="49" xfId="0" applyAlignment="1" applyFont="1" applyNumberForma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0" fillId="3" fontId="1" numFmtId="164" xfId="0" applyAlignment="1" applyFont="1" applyNumberFormat="1">
      <alignment horizontal="right" vertical="bottom"/>
    </xf>
    <xf borderId="4" fillId="3" fontId="4" numFmtId="164" xfId="0" applyAlignment="1" applyBorder="1" applyFont="1" applyNumberFormat="1">
      <alignment horizontal="right" vertical="bottom"/>
    </xf>
    <xf borderId="4" fillId="3" fontId="1" numFmtId="164" xfId="0" applyAlignment="1" applyBorder="1" applyFont="1" applyNumberFormat="1">
      <alignment horizontal="right" vertical="bottom"/>
    </xf>
    <xf borderId="0" fillId="4" fontId="1" numFmtId="0" xfId="0" applyAlignment="1" applyFont="1">
      <alignment vertical="bottom"/>
    </xf>
    <xf borderId="3" fillId="4" fontId="1" numFmtId="164" xfId="0" applyAlignment="1" applyBorder="1" applyFont="1" applyNumberFormat="1">
      <alignment horizontal="right" vertical="bottom"/>
    </xf>
    <xf borderId="0" fillId="5" fontId="1" numFmtId="0" xfId="0" applyAlignment="1" applyFont="1">
      <alignment vertical="bottom"/>
    </xf>
    <xf borderId="0" fillId="5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14.13"/>
    <col customWidth="1" min="3" max="3" width="14.63"/>
    <col customWidth="1" min="4" max="4" width="13.0"/>
  </cols>
  <sheetData>
    <row r="1">
      <c r="A1" s="1" t="s">
        <v>0</v>
      </c>
      <c r="B1" s="2"/>
      <c r="C1" s="2"/>
      <c r="D1" s="2"/>
      <c r="E1" s="2"/>
      <c r="F1" s="2"/>
      <c r="G1" s="2"/>
    </row>
    <row r="2" ht="8.25" customHeight="1">
      <c r="A2" s="3"/>
      <c r="B2" s="4"/>
      <c r="C2" s="4"/>
      <c r="D2" s="2"/>
      <c r="E2" s="2"/>
      <c r="F2" s="2"/>
      <c r="G2" s="2"/>
    </row>
    <row r="3">
      <c r="A3" s="5" t="s">
        <v>1</v>
      </c>
      <c r="B3" s="6" t="s">
        <v>2</v>
      </c>
      <c r="C3" s="6" t="s">
        <v>3</v>
      </c>
      <c r="D3" s="6" t="s">
        <v>4</v>
      </c>
      <c r="E3" s="2"/>
      <c r="F3" s="2"/>
      <c r="G3" s="2"/>
    </row>
    <row r="4">
      <c r="A4" s="7" t="s">
        <v>5</v>
      </c>
      <c r="B4" s="8">
        <v>245000.0</v>
      </c>
      <c r="C4" s="8">
        <v>245000.0</v>
      </c>
      <c r="D4" s="9"/>
      <c r="E4" s="2"/>
      <c r="F4" s="2"/>
      <c r="G4" s="2"/>
    </row>
    <row r="5">
      <c r="A5" s="7" t="s">
        <v>6</v>
      </c>
      <c r="B5" s="8"/>
      <c r="C5" s="8">
        <v>1150000.0</v>
      </c>
      <c r="D5" s="8">
        <v>1500000.0</v>
      </c>
      <c r="E5" s="2"/>
      <c r="F5" s="2"/>
      <c r="G5" s="2"/>
    </row>
    <row r="6">
      <c r="A6" s="3"/>
      <c r="B6" s="4"/>
      <c r="C6" s="4"/>
      <c r="D6" s="9"/>
      <c r="E6" s="2"/>
      <c r="F6" s="2"/>
      <c r="G6" s="2"/>
    </row>
    <row r="7">
      <c r="A7" s="10" t="s">
        <v>7</v>
      </c>
      <c r="B7" s="11"/>
      <c r="C7" s="11"/>
      <c r="D7" s="12"/>
      <c r="E7" s="2"/>
      <c r="F7" s="2"/>
      <c r="G7" s="2"/>
    </row>
    <row r="8">
      <c r="A8" s="3" t="s">
        <v>8</v>
      </c>
      <c r="B8" s="2"/>
      <c r="C8" s="2"/>
      <c r="D8" s="9"/>
      <c r="E8" s="2"/>
      <c r="F8" s="2"/>
      <c r="G8" s="2"/>
    </row>
    <row r="9">
      <c r="A9" s="13" t="s">
        <v>9</v>
      </c>
      <c r="B9" s="14">
        <v>43000.0</v>
      </c>
      <c r="C9" s="14">
        <v>32000.0</v>
      </c>
      <c r="D9" s="9"/>
      <c r="E9" s="2"/>
      <c r="F9" s="2"/>
      <c r="G9" s="2"/>
    </row>
    <row r="10">
      <c r="A10" s="15" t="s">
        <v>10</v>
      </c>
      <c r="B10" s="16">
        <v>0.0</v>
      </c>
      <c r="C10" s="14">
        <v>0.0</v>
      </c>
      <c r="D10" s="9"/>
      <c r="E10" s="2"/>
      <c r="F10" s="2"/>
      <c r="G10" s="2"/>
    </row>
    <row r="11">
      <c r="A11" s="17" t="s">
        <v>11</v>
      </c>
      <c r="B11" s="16">
        <v>0.0</v>
      </c>
      <c r="C11" s="14">
        <v>4000.0</v>
      </c>
      <c r="D11" s="9"/>
      <c r="E11" s="2"/>
      <c r="F11" s="2"/>
      <c r="G11" s="2"/>
    </row>
    <row r="12">
      <c r="A12" s="17" t="s">
        <v>12</v>
      </c>
      <c r="B12" s="16">
        <v>80000.0</v>
      </c>
      <c r="C12" s="14">
        <v>85000.0</v>
      </c>
      <c r="D12" s="9"/>
      <c r="E12" s="2"/>
      <c r="F12" s="2"/>
      <c r="G12" s="2"/>
    </row>
    <row r="13">
      <c r="A13" s="17" t="s">
        <v>13</v>
      </c>
      <c r="B13" s="16">
        <v>8800.0</v>
      </c>
      <c r="C13" s="14">
        <f>C12*0.11</f>
        <v>9350</v>
      </c>
      <c r="D13" s="9"/>
      <c r="E13" s="2"/>
      <c r="F13" s="2"/>
      <c r="G13" s="2"/>
    </row>
    <row r="14">
      <c r="A14" s="13" t="s">
        <v>14</v>
      </c>
      <c r="B14" s="16">
        <v>0.0</v>
      </c>
      <c r="C14" s="14">
        <v>0.0</v>
      </c>
      <c r="D14" s="9"/>
      <c r="E14" s="2"/>
      <c r="F14" s="2"/>
      <c r="G14" s="2"/>
    </row>
    <row r="15">
      <c r="A15" s="13" t="s">
        <v>15</v>
      </c>
      <c r="B15" s="16">
        <f>(B12+B14)*0.0765</f>
        <v>6120</v>
      </c>
      <c r="C15" s="14">
        <v>6400.0</v>
      </c>
      <c r="D15" s="9"/>
      <c r="E15" s="2"/>
      <c r="F15" s="2"/>
      <c r="G15" s="2"/>
    </row>
    <row r="16">
      <c r="A16" s="13" t="s">
        <v>16</v>
      </c>
      <c r="B16" s="16">
        <v>4500.0</v>
      </c>
      <c r="C16" s="14">
        <v>4750.0</v>
      </c>
      <c r="D16" s="9"/>
      <c r="E16" s="2"/>
      <c r="F16" s="2"/>
      <c r="G16" s="2"/>
    </row>
    <row r="17">
      <c r="A17" s="17" t="s">
        <v>17</v>
      </c>
      <c r="B17" s="16">
        <v>10000.0</v>
      </c>
      <c r="C17" s="14">
        <v>7500.0</v>
      </c>
      <c r="D17" s="8"/>
      <c r="E17" s="2"/>
      <c r="F17" s="2"/>
      <c r="G17" s="2"/>
    </row>
    <row r="18">
      <c r="A18" s="13" t="s">
        <v>18</v>
      </c>
      <c r="B18" s="16">
        <v>6000.0</v>
      </c>
      <c r="C18" s="14">
        <v>7000.0</v>
      </c>
      <c r="D18" s="8"/>
      <c r="E18" s="2"/>
      <c r="F18" s="2"/>
      <c r="G18" s="2"/>
    </row>
    <row r="19">
      <c r="A19" s="18" t="s">
        <v>19</v>
      </c>
      <c r="B19" s="16">
        <v>7500.0</v>
      </c>
      <c r="C19" s="14">
        <v>7000.0</v>
      </c>
      <c r="D19" s="8"/>
      <c r="E19" s="2"/>
      <c r="F19" s="2"/>
      <c r="G19" s="2"/>
    </row>
    <row r="20">
      <c r="A20" s="19" t="s">
        <v>20</v>
      </c>
      <c r="B20" s="20">
        <f>SUM(B8:B19)</f>
        <v>165920</v>
      </c>
      <c r="C20" s="20">
        <f>SUM(C9:C19)</f>
        <v>163000</v>
      </c>
      <c r="D20" s="21">
        <v>180000.0</v>
      </c>
      <c r="E20" s="2"/>
      <c r="F20" s="2"/>
      <c r="G20" s="2"/>
    </row>
    <row r="21">
      <c r="A21" s="15"/>
      <c r="B21" s="2"/>
      <c r="C21" s="2"/>
      <c r="D21" s="9"/>
      <c r="E21" s="2"/>
      <c r="F21" s="2"/>
      <c r="G21" s="2"/>
    </row>
    <row r="22">
      <c r="A22" s="1" t="s">
        <v>21</v>
      </c>
      <c r="B22" s="2"/>
      <c r="C22" s="2"/>
      <c r="D22" s="9"/>
      <c r="E22" s="2"/>
      <c r="F22" s="2"/>
      <c r="G22" s="2"/>
    </row>
    <row r="23">
      <c r="A23" s="13" t="s">
        <v>22</v>
      </c>
      <c r="B23" s="8">
        <v>10000.0</v>
      </c>
      <c r="C23" s="8">
        <v>9000.0</v>
      </c>
      <c r="D23" s="9"/>
      <c r="E23" s="2"/>
      <c r="F23" s="2"/>
      <c r="G23" s="2"/>
    </row>
    <row r="24">
      <c r="A24" s="13" t="s">
        <v>23</v>
      </c>
      <c r="B24" s="8">
        <v>199000.0</v>
      </c>
      <c r="C24" s="8">
        <v>70000.0</v>
      </c>
      <c r="D24" s="9"/>
      <c r="E24" s="2"/>
      <c r="F24" s="2"/>
      <c r="G24" s="2"/>
    </row>
    <row r="25">
      <c r="A25" s="22" t="s">
        <v>20</v>
      </c>
      <c r="B25" s="23">
        <f t="shared" ref="B25:C25" si="1">SUM(B23:B24)</f>
        <v>209000</v>
      </c>
      <c r="C25" s="23">
        <f t="shared" si="1"/>
        <v>79000</v>
      </c>
      <c r="D25" s="23">
        <v>1000000.0</v>
      </c>
      <c r="E25" s="2"/>
      <c r="F25" s="2"/>
      <c r="G25" s="2"/>
    </row>
    <row r="26">
      <c r="A26" s="15"/>
      <c r="B26" s="2"/>
      <c r="C26" s="2"/>
      <c r="D26" s="9"/>
      <c r="E26" s="2"/>
      <c r="F26" s="2"/>
      <c r="G26" s="2"/>
    </row>
    <row r="27">
      <c r="A27" s="3" t="s">
        <v>24</v>
      </c>
      <c r="B27" s="2"/>
      <c r="C27" s="2"/>
      <c r="D27" s="9"/>
      <c r="E27" s="2"/>
      <c r="F27" s="2"/>
      <c r="G27" s="2"/>
    </row>
    <row r="28">
      <c r="A28" s="18" t="s">
        <v>25</v>
      </c>
      <c r="B28" s="8">
        <v>2000.0</v>
      </c>
      <c r="C28" s="8">
        <v>3000.0</v>
      </c>
      <c r="D28" s="9"/>
      <c r="E28" s="2"/>
      <c r="F28" s="2"/>
      <c r="G28" s="2"/>
    </row>
    <row r="29">
      <c r="A29" s="22" t="s">
        <v>20</v>
      </c>
      <c r="B29" s="24">
        <f t="shared" ref="B29:C29" si="2">B28</f>
        <v>2000</v>
      </c>
      <c r="C29" s="24">
        <f t="shared" si="2"/>
        <v>3000</v>
      </c>
      <c r="D29" s="23">
        <v>10000.0</v>
      </c>
      <c r="E29" s="2"/>
      <c r="F29" s="2"/>
      <c r="G29" s="2"/>
    </row>
    <row r="30">
      <c r="A30" s="15"/>
      <c r="B30" s="2"/>
      <c r="C30" s="2"/>
      <c r="D30" s="9"/>
      <c r="E30" s="2"/>
      <c r="F30" s="2"/>
      <c r="G30" s="2"/>
    </row>
    <row r="31">
      <c r="A31" s="25" t="s">
        <v>26</v>
      </c>
      <c r="B31" s="26">
        <f t="shared" ref="B31:D31" si="3">B29+B25+B20</f>
        <v>376920</v>
      </c>
      <c r="C31" s="26">
        <f t="shared" si="3"/>
        <v>245000</v>
      </c>
      <c r="D31" s="26">
        <f t="shared" si="3"/>
        <v>1190000</v>
      </c>
      <c r="E31" s="2"/>
      <c r="F31" s="2"/>
      <c r="G31" s="2"/>
    </row>
    <row r="32">
      <c r="A32" s="2"/>
      <c r="B32" s="2"/>
      <c r="C32" s="2"/>
      <c r="D32" s="9"/>
      <c r="E32" s="2"/>
      <c r="F32" s="2"/>
      <c r="G32" s="2"/>
    </row>
    <row r="33">
      <c r="A33" s="27" t="s">
        <v>27</v>
      </c>
      <c r="B33" s="28"/>
      <c r="C33" s="28"/>
      <c r="D33" s="29"/>
      <c r="E33" s="2"/>
      <c r="F33" s="2"/>
      <c r="G33" s="2"/>
    </row>
    <row r="34">
      <c r="A34" s="2"/>
      <c r="B34" s="2"/>
      <c r="C34" s="2"/>
      <c r="D34" s="9"/>
      <c r="E34" s="2"/>
      <c r="F34" s="2"/>
      <c r="G34" s="2"/>
    </row>
    <row r="35">
      <c r="A35" s="2"/>
      <c r="B35" s="8"/>
      <c r="C35" s="2"/>
      <c r="D35" s="9"/>
      <c r="E35" s="2"/>
      <c r="F35" s="2"/>
      <c r="G35" s="2"/>
    </row>
    <row r="36">
      <c r="A36" s="2"/>
      <c r="B36" s="30"/>
      <c r="C36" s="2"/>
      <c r="D36" s="9"/>
      <c r="E36" s="2"/>
      <c r="F36" s="2"/>
      <c r="G36" s="2"/>
    </row>
    <row r="37">
      <c r="A37" s="2"/>
      <c r="B37" s="31"/>
      <c r="C37" s="31"/>
      <c r="D37" s="9"/>
      <c r="E37" s="2"/>
      <c r="F37" s="2"/>
      <c r="G37" s="2"/>
    </row>
    <row r="38">
      <c r="B38" s="32"/>
      <c r="D38" s="33"/>
    </row>
    <row r="39">
      <c r="B39" s="34"/>
      <c r="D39" s="33"/>
    </row>
    <row r="40">
      <c r="B40" s="34"/>
      <c r="D40" s="33"/>
    </row>
    <row r="41">
      <c r="B41" s="34"/>
      <c r="D41" s="33"/>
    </row>
    <row r="45">
      <c r="A45" s="35"/>
      <c r="B45" s="36"/>
    </row>
    <row r="46">
      <c r="A46" s="36"/>
      <c r="B46" s="37"/>
    </row>
    <row r="47">
      <c r="A47" s="36"/>
      <c r="B47" s="37"/>
    </row>
    <row r="48">
      <c r="A48" s="36"/>
      <c r="B48" s="36"/>
    </row>
    <row r="49">
      <c r="A49" s="36"/>
      <c r="B49" s="37"/>
    </row>
    <row r="50">
      <c r="C50" s="38"/>
      <c r="D50" s="38"/>
    </row>
    <row r="51">
      <c r="C51" s="38"/>
      <c r="D51" s="38"/>
    </row>
    <row r="52">
      <c r="C52" s="39"/>
      <c r="D52" s="38"/>
    </row>
    <row r="53">
      <c r="C53" s="38"/>
      <c r="D53" s="38"/>
    </row>
    <row r="54">
      <c r="C54" s="39"/>
      <c r="D54" s="39"/>
    </row>
    <row r="55">
      <c r="C55" s="33"/>
      <c r="D55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  <col customWidth="1" min="3" max="3" width="20.88"/>
    <col customWidth="1" min="6" max="6" width="49.25"/>
  </cols>
  <sheetData>
    <row r="1">
      <c r="A1" s="40" t="s">
        <v>0</v>
      </c>
    </row>
    <row r="2">
      <c r="A2" s="41"/>
      <c r="B2" s="42"/>
      <c r="C2" s="42">
        <v>2025.0</v>
      </c>
      <c r="D2" s="42">
        <v>2025.0</v>
      </c>
      <c r="E2" s="42"/>
      <c r="F2" s="33"/>
    </row>
    <row r="3">
      <c r="A3" s="43" t="s">
        <v>1</v>
      </c>
      <c r="B3" s="6">
        <v>2025.0</v>
      </c>
      <c r="C3" s="6" t="s">
        <v>28</v>
      </c>
      <c r="D3" s="6" t="s">
        <v>29</v>
      </c>
      <c r="E3" s="6">
        <v>2026.0</v>
      </c>
      <c r="F3" s="44"/>
    </row>
    <row r="4">
      <c r="A4" s="45" t="s">
        <v>30</v>
      </c>
      <c r="B4" s="8">
        <v>500000.0</v>
      </c>
      <c r="C4" s="8">
        <v>151514.0</v>
      </c>
      <c r="D4" s="8">
        <f>B4-C4</f>
        <v>348486</v>
      </c>
      <c r="E4" s="8">
        <v>1000000.0</v>
      </c>
      <c r="F4" s="46"/>
      <c r="G4" s="46"/>
    </row>
    <row r="5">
      <c r="A5" s="41"/>
      <c r="B5" s="4"/>
      <c r="C5" s="4"/>
      <c r="D5" s="4"/>
      <c r="E5" s="4"/>
      <c r="F5" s="33"/>
      <c r="G5" s="46"/>
    </row>
    <row r="6">
      <c r="A6" s="47" t="s">
        <v>7</v>
      </c>
      <c r="B6" s="23">
        <f t="shared" ref="B6:C6" si="1">B4</f>
        <v>500000</v>
      </c>
      <c r="C6" s="23">
        <f t="shared" si="1"/>
        <v>151514</v>
      </c>
      <c r="D6" s="23">
        <f t="shared" ref="D6:E6" si="2">SUM(D4)</f>
        <v>348486</v>
      </c>
      <c r="E6" s="23">
        <f t="shared" si="2"/>
        <v>1000000</v>
      </c>
      <c r="F6" s="48"/>
    </row>
    <row r="7">
      <c r="A7" s="41" t="s">
        <v>8</v>
      </c>
      <c r="B7" s="2"/>
      <c r="C7" s="2"/>
      <c r="D7" s="2"/>
      <c r="E7" s="2"/>
      <c r="F7" s="33"/>
    </row>
    <row r="8">
      <c r="A8" s="49" t="s">
        <v>9</v>
      </c>
      <c r="B8" s="50">
        <v>16200.0</v>
      </c>
      <c r="C8" s="50">
        <v>24008.25</v>
      </c>
      <c r="D8" s="50">
        <f t="shared" ref="D8:D18" si="3">B8-C8</f>
        <v>-7808.25</v>
      </c>
      <c r="E8" s="50">
        <v>2500.0</v>
      </c>
      <c r="F8" s="46"/>
    </row>
    <row r="9">
      <c r="A9" s="51" t="s">
        <v>10</v>
      </c>
      <c r="B9" s="14">
        <v>0.0</v>
      </c>
      <c r="C9" s="14">
        <v>0.0</v>
      </c>
      <c r="D9" s="14">
        <f t="shared" si="3"/>
        <v>0</v>
      </c>
      <c r="E9" s="14">
        <v>0.0</v>
      </c>
      <c r="F9" s="46"/>
    </row>
    <row r="10">
      <c r="A10" s="52" t="s">
        <v>11</v>
      </c>
      <c r="B10" s="14">
        <v>0.0</v>
      </c>
      <c r="C10" s="14">
        <v>0.0</v>
      </c>
      <c r="D10" s="14">
        <f t="shared" si="3"/>
        <v>0</v>
      </c>
      <c r="E10" s="14">
        <v>0.0</v>
      </c>
      <c r="F10" s="46"/>
    </row>
    <row r="11">
      <c r="A11" s="52" t="s">
        <v>12</v>
      </c>
      <c r="B11" s="14">
        <v>80000.0</v>
      </c>
      <c r="C11" s="14">
        <v>40000.02</v>
      </c>
      <c r="D11" s="14">
        <f t="shared" si="3"/>
        <v>39999.98</v>
      </c>
      <c r="E11" s="14">
        <v>80000.0</v>
      </c>
      <c r="F11" s="46"/>
    </row>
    <row r="12">
      <c r="A12" s="52" t="s">
        <v>13</v>
      </c>
      <c r="B12" s="14">
        <v>8800.0</v>
      </c>
      <c r="C12" s="14">
        <v>4381.29</v>
      </c>
      <c r="D12" s="14">
        <f t="shared" si="3"/>
        <v>4418.71</v>
      </c>
      <c r="E12" s="14">
        <v>10000.0</v>
      </c>
      <c r="F12" s="46"/>
    </row>
    <row r="13">
      <c r="A13" s="53" t="s">
        <v>14</v>
      </c>
      <c r="B13" s="14">
        <v>0.0</v>
      </c>
      <c r="C13" s="14">
        <v>0.0</v>
      </c>
      <c r="D13" s="14">
        <f t="shared" si="3"/>
        <v>0</v>
      </c>
      <c r="E13" s="14">
        <v>0.0</v>
      </c>
      <c r="F13" s="46"/>
    </row>
    <row r="14">
      <c r="A14" s="53" t="s">
        <v>31</v>
      </c>
      <c r="B14" s="14">
        <f>(B11+B13)*0.153</f>
        <v>12240</v>
      </c>
      <c r="C14" s="8">
        <v>3025.21</v>
      </c>
      <c r="D14" s="14">
        <f t="shared" si="3"/>
        <v>9214.79</v>
      </c>
      <c r="E14" s="14">
        <f>E11*0.153</f>
        <v>12240</v>
      </c>
      <c r="F14" s="33"/>
    </row>
    <row r="15">
      <c r="A15" s="53" t="s">
        <v>16</v>
      </c>
      <c r="B15" s="14">
        <v>3500.0</v>
      </c>
      <c r="C15" s="14">
        <v>3880.5</v>
      </c>
      <c r="D15" s="54">
        <f t="shared" si="3"/>
        <v>-380.5</v>
      </c>
      <c r="E15" s="14">
        <v>3500.0</v>
      </c>
      <c r="F15" s="46"/>
    </row>
    <row r="16">
      <c r="A16" s="52" t="s">
        <v>17</v>
      </c>
      <c r="B16" s="14">
        <v>4500.0</v>
      </c>
      <c r="C16" s="14">
        <v>8819.0</v>
      </c>
      <c r="D16" s="54">
        <f t="shared" si="3"/>
        <v>-4319</v>
      </c>
      <c r="E16" s="14">
        <v>5000.0</v>
      </c>
      <c r="F16" s="46"/>
    </row>
    <row r="17">
      <c r="A17" s="53" t="s">
        <v>18</v>
      </c>
      <c r="B17" s="14">
        <v>3000.0</v>
      </c>
      <c r="C17" s="14">
        <v>3657.56</v>
      </c>
      <c r="D17" s="14">
        <f t="shared" si="3"/>
        <v>-657.56</v>
      </c>
      <c r="E17" s="14">
        <v>2000.0</v>
      </c>
      <c r="F17" s="46"/>
    </row>
    <row r="18">
      <c r="A18" s="55" t="s">
        <v>32</v>
      </c>
      <c r="B18" s="56">
        <v>2000.0</v>
      </c>
      <c r="C18" s="56">
        <v>4203.3</v>
      </c>
      <c r="D18" s="56">
        <f t="shared" si="3"/>
        <v>-2203.3</v>
      </c>
      <c r="E18" s="56">
        <v>2000.0</v>
      </c>
      <c r="F18" s="46"/>
    </row>
    <row r="19">
      <c r="A19" s="57" t="s">
        <v>20</v>
      </c>
      <c r="B19" s="20">
        <f t="shared" ref="B19:C19" si="4">SUM(B8:B18)</f>
        <v>130240</v>
      </c>
      <c r="C19" s="20">
        <f t="shared" si="4"/>
        <v>91975.13</v>
      </c>
      <c r="D19" s="20"/>
      <c r="E19" s="20">
        <f>SUM(E8:E18)</f>
        <v>117240</v>
      </c>
    </row>
    <row r="20">
      <c r="A20" s="51"/>
      <c r="B20" s="2"/>
      <c r="C20" s="2"/>
      <c r="D20" s="2"/>
      <c r="E20" s="2"/>
    </row>
    <row r="21">
      <c r="A21" s="40" t="s">
        <v>21</v>
      </c>
      <c r="B21" s="2"/>
      <c r="C21" s="2"/>
      <c r="D21" s="2"/>
      <c r="E21" s="2"/>
    </row>
    <row r="22">
      <c r="A22" s="49" t="s">
        <v>22</v>
      </c>
      <c r="B22" s="58">
        <v>3500.0</v>
      </c>
      <c r="C22" s="58">
        <v>6400.0</v>
      </c>
      <c r="D22" s="58">
        <f t="shared" ref="D22:D23" si="5">B22-C22</f>
        <v>-2900</v>
      </c>
      <c r="E22" s="58">
        <v>0.0</v>
      </c>
      <c r="F22" s="46"/>
    </row>
    <row r="23">
      <c r="A23" s="53" t="s">
        <v>23</v>
      </c>
      <c r="B23" s="59">
        <v>75000.0</v>
      </c>
      <c r="C23" s="59">
        <v>149000.0</v>
      </c>
      <c r="D23" s="59">
        <f t="shared" si="5"/>
        <v>-74000</v>
      </c>
      <c r="E23" s="59">
        <v>0.0</v>
      </c>
      <c r="F23" s="46"/>
    </row>
    <row r="24">
      <c r="A24" s="60" t="s">
        <v>20</v>
      </c>
      <c r="B24" s="23">
        <f t="shared" ref="B24:E24" si="6">SUM(B22:B23)</f>
        <v>78500</v>
      </c>
      <c r="C24" s="23">
        <f t="shared" si="6"/>
        <v>155400</v>
      </c>
      <c r="D24" s="23">
        <f t="shared" si="6"/>
        <v>-76900</v>
      </c>
      <c r="E24" s="23">
        <f t="shared" si="6"/>
        <v>0</v>
      </c>
      <c r="F24" s="61"/>
    </row>
    <row r="25">
      <c r="A25" s="51"/>
      <c r="B25" s="2"/>
      <c r="C25" s="2"/>
      <c r="D25" s="2"/>
      <c r="E25" s="2"/>
      <c r="F25" s="33"/>
    </row>
    <row r="26">
      <c r="A26" s="41" t="s">
        <v>24</v>
      </c>
      <c r="B26" s="2"/>
      <c r="C26" s="2"/>
      <c r="D26" s="2"/>
      <c r="E26" s="2"/>
      <c r="F26" s="33"/>
    </row>
    <row r="27">
      <c r="A27" s="62" t="s">
        <v>25</v>
      </c>
      <c r="B27" s="63">
        <v>2000.0</v>
      </c>
      <c r="C27" s="63">
        <v>0.0</v>
      </c>
      <c r="D27" s="63">
        <f>B27-C27</f>
        <v>2000</v>
      </c>
      <c r="E27" s="63">
        <v>3000.0</v>
      </c>
      <c r="F27" s="46"/>
    </row>
    <row r="28">
      <c r="A28" s="60" t="s">
        <v>20</v>
      </c>
      <c r="B28" s="64">
        <f>SUM(B27)</f>
        <v>2000</v>
      </c>
      <c r="C28" s="65">
        <f>C27</f>
        <v>0</v>
      </c>
      <c r="D28" s="64">
        <f t="shared" ref="D28:E28" si="7">SUM(D27)</f>
        <v>2000</v>
      </c>
      <c r="E28" s="64">
        <f t="shared" si="7"/>
        <v>3000</v>
      </c>
      <c r="F28" s="61"/>
    </row>
    <row r="29">
      <c r="A29" s="51"/>
      <c r="F29" s="33"/>
    </row>
    <row r="30">
      <c r="A30" s="66" t="s">
        <v>26</v>
      </c>
      <c r="B30" s="67">
        <f t="shared" ref="B30:C30" si="8">B19+B24+B28</f>
        <v>210740</v>
      </c>
      <c r="C30" s="67">
        <f t="shared" si="8"/>
        <v>247375.13</v>
      </c>
      <c r="D30" s="68"/>
      <c r="E30" s="67">
        <f>E19+E24+E28</f>
        <v>120240</v>
      </c>
      <c r="F30" s="61"/>
    </row>
    <row r="31">
      <c r="F31" s="33"/>
    </row>
    <row r="32">
      <c r="A32" s="69" t="s">
        <v>27</v>
      </c>
      <c r="B32" s="70">
        <f t="shared" ref="B32:C32" si="9">B6-B30</f>
        <v>289260</v>
      </c>
      <c r="C32" s="70">
        <f t="shared" si="9"/>
        <v>-95861.13</v>
      </c>
      <c r="D32" s="71"/>
      <c r="E32" s="70">
        <f>E6-E30</f>
        <v>879760</v>
      </c>
      <c r="F32" s="61"/>
      <c r="H32" s="72" t="s">
        <v>33</v>
      </c>
    </row>
    <row r="33">
      <c r="F33" s="33"/>
      <c r="H33" s="73">
        <f>D15+D16+D17+D18+D22+D8</f>
        <v>-18268.61</v>
      </c>
    </row>
    <row r="34">
      <c r="F34" s="33"/>
    </row>
    <row r="35">
      <c r="F35" s="33"/>
    </row>
    <row r="36">
      <c r="F36" s="33"/>
    </row>
    <row r="37">
      <c r="F37" s="33"/>
    </row>
    <row r="38">
      <c r="F38" s="33"/>
    </row>
    <row r="39">
      <c r="F39" s="33"/>
    </row>
    <row r="40">
      <c r="F40" s="33"/>
    </row>
    <row r="41">
      <c r="F41" s="33"/>
    </row>
    <row r="42">
      <c r="F42" s="33"/>
    </row>
    <row r="43">
      <c r="F43" s="33"/>
    </row>
    <row r="44">
      <c r="F44" s="33"/>
    </row>
    <row r="45">
      <c r="F45" s="33"/>
    </row>
    <row r="46">
      <c r="F46" s="33"/>
    </row>
    <row r="47">
      <c r="F47" s="33"/>
    </row>
    <row r="48">
      <c r="F48" s="33"/>
    </row>
  </sheetData>
  <printOptions gridLines="1" horizontalCentered="1"/>
  <pageMargins bottom="0.75" footer="0.0" header="0.0" left="0.7" right="0.7" top="0.75"/>
  <pageSetup fitToHeight="0" cellComments="atEnd" orientation="portrait" pageOrder="overThenDown"/>
  <headerFooter>
    <oddHeader>&amp;LKinship Earth&amp;CBudget&amp;R2025-2026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41" t="s">
        <v>34</v>
      </c>
      <c r="B1" s="51"/>
      <c r="C1" s="51"/>
      <c r="D1" s="51"/>
    </row>
    <row r="2">
      <c r="A2" s="51"/>
      <c r="B2" s="51"/>
      <c r="C2" s="51"/>
      <c r="D2" s="74"/>
    </row>
    <row r="3">
      <c r="A3" s="75" t="s">
        <v>35</v>
      </c>
      <c r="B3" s="76" t="s">
        <v>36</v>
      </c>
      <c r="C3" s="76" t="s">
        <v>37</v>
      </c>
      <c r="D3" s="77" t="s">
        <v>38</v>
      </c>
    </row>
    <row r="4">
      <c r="A4" s="51" t="s">
        <v>39</v>
      </c>
      <c r="B4" s="78">
        <v>500000.0</v>
      </c>
      <c r="C4" s="78">
        <v>1000000.0</v>
      </c>
      <c r="D4" s="79">
        <v>1500000.0</v>
      </c>
    </row>
    <row r="5">
      <c r="A5" s="51"/>
      <c r="B5" s="51"/>
      <c r="C5" s="51"/>
      <c r="D5" s="74"/>
    </row>
    <row r="6">
      <c r="A6" s="60" t="s">
        <v>7</v>
      </c>
      <c r="B6" s="80">
        <v>2025.0</v>
      </c>
      <c r="C6" s="80">
        <v>2026.0</v>
      </c>
      <c r="D6" s="81" t="s">
        <v>40</v>
      </c>
    </row>
    <row r="7">
      <c r="A7" s="41" t="s">
        <v>8</v>
      </c>
      <c r="B7" s="51"/>
      <c r="C7" s="51"/>
      <c r="D7" s="74"/>
    </row>
    <row r="8">
      <c r="A8" s="52" t="s">
        <v>41</v>
      </c>
      <c r="B8" s="79">
        <v>25000.0</v>
      </c>
      <c r="C8" s="79">
        <v>30000.0</v>
      </c>
      <c r="D8" s="79">
        <v>400000.0</v>
      </c>
    </row>
    <row r="9">
      <c r="A9" s="51" t="s">
        <v>10</v>
      </c>
      <c r="B9" s="79">
        <v>2000.0</v>
      </c>
      <c r="C9" s="79">
        <v>5000.0</v>
      </c>
      <c r="D9" s="79">
        <v>8000.0</v>
      </c>
    </row>
    <row r="10">
      <c r="A10" s="52" t="s">
        <v>11</v>
      </c>
      <c r="B10" s="79">
        <v>5000.0</v>
      </c>
      <c r="C10" s="79">
        <v>15000.0</v>
      </c>
      <c r="D10" s="79">
        <v>25000.0</v>
      </c>
    </row>
    <row r="11">
      <c r="A11" s="52" t="s">
        <v>12</v>
      </c>
      <c r="B11" s="79">
        <v>85000.0</v>
      </c>
      <c r="C11" s="79">
        <v>90000.0</v>
      </c>
      <c r="D11" s="79">
        <v>95000.0</v>
      </c>
    </row>
    <row r="12">
      <c r="A12" s="52" t="s">
        <v>13</v>
      </c>
      <c r="B12" s="79">
        <v>10000.0</v>
      </c>
      <c r="C12" s="79">
        <v>11000.0</v>
      </c>
      <c r="D12" s="79">
        <v>12000.0</v>
      </c>
    </row>
    <row r="13">
      <c r="A13" s="52" t="s">
        <v>14</v>
      </c>
      <c r="B13" s="79">
        <v>30000.0</v>
      </c>
      <c r="C13" s="79">
        <v>40000.0</v>
      </c>
      <c r="D13" s="79">
        <v>50000.0</v>
      </c>
    </row>
    <row r="14">
      <c r="A14" s="52" t="s">
        <v>42</v>
      </c>
      <c r="B14" s="79">
        <v>30000.0</v>
      </c>
      <c r="C14" s="79">
        <v>35000.0</v>
      </c>
      <c r="D14" s="79">
        <v>45000.0</v>
      </c>
    </row>
    <row r="15">
      <c r="A15" s="52" t="s">
        <v>31</v>
      </c>
      <c r="B15" s="79">
        <f t="shared" ref="B15:D15" si="1">(B11+B13+B14)*0.153</f>
        <v>22185</v>
      </c>
      <c r="C15" s="79">
        <f t="shared" si="1"/>
        <v>25245</v>
      </c>
      <c r="D15" s="79">
        <f t="shared" si="1"/>
        <v>29070</v>
      </c>
    </row>
    <row r="16">
      <c r="A16" s="52" t="s">
        <v>16</v>
      </c>
      <c r="B16" s="79">
        <v>4000.0</v>
      </c>
      <c r="C16" s="79">
        <v>6000.0</v>
      </c>
      <c r="D16" s="79">
        <v>8000.0</v>
      </c>
    </row>
    <row r="17">
      <c r="A17" s="52" t="s">
        <v>17</v>
      </c>
      <c r="B17" s="79">
        <v>7000.0</v>
      </c>
      <c r="C17" s="79">
        <v>10000.0</v>
      </c>
      <c r="D17" s="79">
        <v>12000.0</v>
      </c>
    </row>
    <row r="18">
      <c r="A18" s="52" t="s">
        <v>43</v>
      </c>
      <c r="B18" s="79">
        <v>3000.0</v>
      </c>
      <c r="C18" s="79">
        <v>3500.0</v>
      </c>
      <c r="D18" s="79">
        <v>6000.0</v>
      </c>
    </row>
    <row r="19">
      <c r="A19" s="51" t="s">
        <v>44</v>
      </c>
      <c r="B19" s="82">
        <v>4500.0</v>
      </c>
      <c r="C19" s="82">
        <v>5000.0</v>
      </c>
      <c r="D19" s="79">
        <v>7000.0</v>
      </c>
    </row>
    <row r="20">
      <c r="A20" s="57" t="s">
        <v>20</v>
      </c>
      <c r="B20" s="83">
        <f t="shared" ref="B20:D20" si="2">SUM(B8:B19)</f>
        <v>227685</v>
      </c>
      <c r="C20" s="83">
        <f t="shared" si="2"/>
        <v>275745</v>
      </c>
      <c r="D20" s="84">
        <f t="shared" si="2"/>
        <v>697070</v>
      </c>
    </row>
    <row r="21">
      <c r="A21" s="51"/>
      <c r="B21" s="51"/>
      <c r="C21" s="51"/>
      <c r="D21" s="74"/>
    </row>
    <row r="22">
      <c r="A22" s="41" t="s">
        <v>45</v>
      </c>
      <c r="B22" s="51"/>
      <c r="C22" s="51"/>
      <c r="D22" s="74"/>
    </row>
    <row r="23">
      <c r="A23" s="52" t="s">
        <v>46</v>
      </c>
      <c r="B23" s="79">
        <v>5000.0</v>
      </c>
      <c r="C23" s="79">
        <v>8000.0</v>
      </c>
      <c r="D23" s="79">
        <v>12000.0</v>
      </c>
    </row>
    <row r="24">
      <c r="A24" s="52" t="s">
        <v>23</v>
      </c>
      <c r="B24" s="82">
        <v>200000.0</v>
      </c>
      <c r="C24" s="82">
        <v>350000.0</v>
      </c>
      <c r="D24" s="79">
        <v>500000.0</v>
      </c>
    </row>
    <row r="25">
      <c r="A25" s="60" t="s">
        <v>20</v>
      </c>
      <c r="B25" s="83">
        <f t="shared" ref="B25:D25" si="3">SUM(B23:B24)</f>
        <v>205000</v>
      </c>
      <c r="C25" s="83">
        <f t="shared" si="3"/>
        <v>358000</v>
      </c>
      <c r="D25" s="85">
        <f t="shared" si="3"/>
        <v>512000</v>
      </c>
    </row>
    <row r="26">
      <c r="A26" s="51"/>
      <c r="B26" s="51"/>
      <c r="C26" s="51"/>
      <c r="D26" s="74"/>
    </row>
    <row r="27">
      <c r="A27" s="41" t="s">
        <v>24</v>
      </c>
      <c r="B27" s="51"/>
      <c r="C27" s="51"/>
      <c r="D27" s="74"/>
    </row>
    <row r="28">
      <c r="A28" s="51" t="s">
        <v>47</v>
      </c>
      <c r="B28" s="82">
        <v>4000.0</v>
      </c>
      <c r="C28" s="82">
        <v>5000.0</v>
      </c>
      <c r="D28" s="79">
        <v>6000.0</v>
      </c>
    </row>
    <row r="29">
      <c r="A29" s="60" t="s">
        <v>20</v>
      </c>
      <c r="B29" s="83">
        <f t="shared" ref="B29:D29" si="4">SUM(B28)</f>
        <v>4000</v>
      </c>
      <c r="C29" s="83">
        <f t="shared" si="4"/>
        <v>5000</v>
      </c>
      <c r="D29" s="85">
        <f t="shared" si="4"/>
        <v>6000</v>
      </c>
    </row>
    <row r="30">
      <c r="A30" s="51"/>
      <c r="B30" s="51"/>
      <c r="C30" s="51"/>
      <c r="D30" s="74"/>
    </row>
    <row r="31">
      <c r="A31" s="86" t="s">
        <v>26</v>
      </c>
      <c r="B31" s="87">
        <f t="shared" ref="B31:D31" si="5">B20+B25+B29</f>
        <v>436685</v>
      </c>
      <c r="C31" s="87">
        <f t="shared" si="5"/>
        <v>638745</v>
      </c>
      <c r="D31" s="87">
        <f t="shared" si="5"/>
        <v>1215070</v>
      </c>
    </row>
    <row r="32">
      <c r="A32" s="51"/>
      <c r="B32" s="51"/>
      <c r="C32" s="51"/>
      <c r="D32" s="74"/>
    </row>
    <row r="33">
      <c r="A33" s="88" t="s">
        <v>27</v>
      </c>
      <c r="B33" s="89">
        <f t="shared" ref="B33:D33" si="6">B4-B31</f>
        <v>63315</v>
      </c>
      <c r="C33" s="89">
        <f t="shared" si="6"/>
        <v>361255</v>
      </c>
      <c r="D33" s="89">
        <f t="shared" si="6"/>
        <v>284930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headerFooter>
    <oddHeader>&amp;LKinship Earth&amp;CBudget&amp;R2025-2026</oddHeader>
  </headerFooter>
  <drawing r:id="rId1"/>
</worksheet>
</file>